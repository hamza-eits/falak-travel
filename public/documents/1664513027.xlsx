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shif\Documents\"/>
    </mc:Choice>
  </mc:AlternateContent>
  <xr:revisionPtr revIDLastSave="0" documentId="13_ncr:1_{F6E327E4-BC1A-4780-82F1-739AB77255A6}" xr6:coauthVersionLast="45" xr6:coauthVersionMax="45" xr10:uidLastSave="{00000000-0000-0000-0000-000000000000}"/>
  <bookViews>
    <workbookView xWindow="-16320" yWindow="-120" windowWidth="16440" windowHeight="29040" xr2:uid="{0599CB60-1D46-490F-8151-D0270FCA4FBE}"/>
  </bookViews>
  <sheets>
    <sheet name="Sheet1" sheetId="1" r:id="rId1"/>
  </sheets>
  <definedNames>
    <definedName name="_xlnm._FilterDatabase" localSheetId="0" hidden="1">Sheet1!$A$3:$C$3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C26" i="1" l="1"/>
  <c r="C29" i="1" s="1"/>
</calcChain>
</file>

<file path=xl/sharedStrings.xml><?xml version="1.0" encoding="utf-8"?>
<sst xmlns="http://schemas.openxmlformats.org/spreadsheetml/2006/main" count="28" uniqueCount="28">
  <si>
    <t>Sr No</t>
  </si>
  <si>
    <t xml:space="preserve">        Directors</t>
  </si>
  <si>
    <t>Zohaib Ghafoor</t>
  </si>
  <si>
    <t>Shazma Akram</t>
  </si>
  <si>
    <t>Mariyum Manzoor</t>
  </si>
  <si>
    <t>Ousama Shakeel</t>
  </si>
  <si>
    <t>Atika Aarif</t>
  </si>
  <si>
    <t>Hadiqa Hanif</t>
  </si>
  <si>
    <t>Waris Ali Shah</t>
  </si>
  <si>
    <t>Hamza Saghir</t>
  </si>
  <si>
    <t>Hamza Ali</t>
  </si>
  <si>
    <t>Mustafeez Rehman</t>
  </si>
  <si>
    <t>Zayan</t>
  </si>
  <si>
    <t>Muhammad Awais</t>
  </si>
  <si>
    <t>Mariyum Shah</t>
  </si>
  <si>
    <t>Saleena Arooj</t>
  </si>
  <si>
    <t>Zahid Hussaiain</t>
  </si>
  <si>
    <t>Adnan Hussain</t>
  </si>
  <si>
    <t>Nazakut</t>
  </si>
  <si>
    <t>Yasir</t>
  </si>
  <si>
    <t>Muhammad Sharif Naqeebi</t>
  </si>
  <si>
    <t>Security No.1</t>
  </si>
  <si>
    <t>Security No.2</t>
  </si>
  <si>
    <t>Cash</t>
  </si>
  <si>
    <t>Balance</t>
  </si>
  <si>
    <t>Total</t>
  </si>
  <si>
    <t>Shah Corporation Ltd</t>
  </si>
  <si>
    <t>Salary for August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</si>
</sst>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4"/>
      <color theme="1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2" borderId="1" xfId="0" applyFont="1" applyFill="1" applyBorder="1"/>
    <xf numFmtId="17" fontId="2" fillId="2" borderId="1" xfId="0" applyNumberFormat="1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3" fontId="3" fillId="3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left"/>
    </xf>
    <xf numFmtId="0" fontId="3" fillId="5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6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3" fontId="6" fillId="5" borderId="1" xfId="0" applyNumberFormat="1" applyFont="1" applyFill="1" applyBorder="1" applyAlignment="1">
      <alignment horizontal="center"/>
    </xf>
    <xf numFmtId="3" fontId="7" fillId="3" borderId="1" xfId="0" applyNumberFormat="1" applyFont="1" applyFill="1" applyBorder="1" applyAlignment="1">
      <alignment horizontal="center"/>
    </xf>
    <xf numFmtId="0" fontId="2" fillId="6" borderId="2" xfId="0" applyFont="1" applyFill="1" applyBorder="1" applyAlignment="1">
      <alignment horizontal="left"/>
    </xf>
    <xf numFmtId="0" fontId="2" fillId="6" borderId="4" xfId="0" applyFont="1" applyFill="1" applyBorder="1" applyAlignment="1">
      <alignment horizontal="left"/>
    </xf>
    <xf numFmtId="0" fontId="0" fillId="6" borderId="1" xfId="0" applyFill="1" applyBorder="1" applyAlignment="1">
      <alignment horizontal="left"/>
    </xf>
    <xf numFmtId="0" fontId="3" fillId="4" borderId="1" xfId="0" applyFont="1" applyFill="1" applyBorder="1" applyAlignment="1">
      <alignment horizontal="center"/>
    </xf>
    <xf numFmtId="0" fontId="0" fillId="6" borderId="0" xfId="0" applyFill="1"/>
    <xf numFmtId="3" fontId="5" fillId="3" borderId="3" xfId="0" applyNumberFormat="1" applyFont="1" applyFill="1" applyBorder="1" applyAlignment="1">
      <alignment horizontal="center"/>
    </xf>
    <xf numFmtId="3" fontId="0" fillId="0" borderId="0" xfId="0" applyNumberFormat="1"/>
    <xf numFmtId="3" fontId="3" fillId="3" borderId="0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B7DEA-9944-498F-A3F7-E6DC346A59FE}">
  <dimension ref="A1:C29"/>
  <sheetViews>
    <sheetView tabSelected="1" zoomScale="130" zoomScaleNormal="130" workbookViewId="0">
      <selection activeCell="D6" sqref="D6"/>
    </sheetView>
  </sheetViews>
  <sheetFormatPr defaultRowHeight="15" x14ac:dyDescent="0.25"/>
  <cols>
    <col min="2" max="2" width="25.7109375" bestFit="1" customWidth="1"/>
    <col min="3" max="3" width="12.42578125" bestFit="1" customWidth="1"/>
  </cols>
  <sheetData>
    <row r="1" spans="1:3" ht="21" x14ac:dyDescent="0.35">
      <c r="A1" s="21" t="s">
        <v>26</v>
      </c>
      <c r="B1" s="21"/>
      <c r="C1" s="21"/>
    </row>
    <row r="2" spans="1:3" x14ac:dyDescent="0.25">
      <c r="A2" s="22" t="s">
        <v>27</v>
      </c>
      <c r="B2" s="22"/>
      <c r="C2" s="22"/>
    </row>
    <row r="3" spans="1:3" ht="15.75" x14ac:dyDescent="0.25">
      <c r="A3" s="1" t="s">
        <v>0</v>
      </c>
      <c r="B3" s="1" t="s">
        <v>1</v>
      </c>
      <c r="C3" s="2">
        <v>44795</v>
      </c>
    </row>
    <row r="4" spans="1:3" ht="15.75" x14ac:dyDescent="0.25">
      <c r="A4" s="3">
        <v>16</v>
      </c>
      <c r="B4" s="4" t="s">
        <v>2</v>
      </c>
      <c r="C4" s="5">
        <v>25000</v>
      </c>
    </row>
    <row r="5" spans="1:3" ht="15.75" x14ac:dyDescent="0.25">
      <c r="A5" s="7">
        <v>18</v>
      </c>
      <c r="B5" s="6" t="s">
        <v>3</v>
      </c>
      <c r="C5" s="11">
        <v>23870</v>
      </c>
    </row>
    <row r="6" spans="1:3" ht="15.75" x14ac:dyDescent="0.25">
      <c r="A6" s="3">
        <v>22</v>
      </c>
      <c r="B6" s="4" t="s">
        <v>4</v>
      </c>
      <c r="C6" s="5">
        <v>20000</v>
      </c>
    </row>
    <row r="7" spans="1:3" ht="15.75" x14ac:dyDescent="0.25">
      <c r="A7" s="3">
        <v>23</v>
      </c>
      <c r="B7" s="4" t="s">
        <v>5</v>
      </c>
      <c r="C7" s="5">
        <v>25000</v>
      </c>
    </row>
    <row r="8" spans="1:3" ht="15.75" x14ac:dyDescent="0.25">
      <c r="A8" s="3">
        <v>32</v>
      </c>
      <c r="B8" s="4" t="s">
        <v>6</v>
      </c>
      <c r="C8" s="5">
        <v>20000</v>
      </c>
    </row>
    <row r="9" spans="1:3" ht="15.75" x14ac:dyDescent="0.25">
      <c r="A9" s="3">
        <v>35</v>
      </c>
      <c r="B9" s="4" t="s">
        <v>7</v>
      </c>
      <c r="C9" s="5">
        <v>20000</v>
      </c>
    </row>
    <row r="10" spans="1:3" ht="15.75" x14ac:dyDescent="0.25">
      <c r="A10" s="3">
        <v>37</v>
      </c>
      <c r="B10" s="4" t="s">
        <v>8</v>
      </c>
      <c r="C10" s="5">
        <v>20000</v>
      </c>
    </row>
    <row r="11" spans="1:3" ht="15.75" x14ac:dyDescent="0.25">
      <c r="A11" s="3">
        <v>38</v>
      </c>
      <c r="B11" s="4" t="s">
        <v>9</v>
      </c>
      <c r="C11" s="5">
        <v>20000</v>
      </c>
    </row>
    <row r="12" spans="1:3" ht="15.75" x14ac:dyDescent="0.25">
      <c r="A12" s="3">
        <v>39</v>
      </c>
      <c r="B12" s="4" t="s">
        <v>10</v>
      </c>
      <c r="C12" s="5">
        <v>20000</v>
      </c>
    </row>
    <row r="13" spans="1:3" ht="15.75" x14ac:dyDescent="0.25">
      <c r="A13" s="3">
        <v>41</v>
      </c>
      <c r="B13" s="4" t="s">
        <v>11</v>
      </c>
      <c r="C13" s="5">
        <v>20000</v>
      </c>
    </row>
    <row r="14" spans="1:3" ht="15.75" x14ac:dyDescent="0.25">
      <c r="A14" s="3">
        <v>42</v>
      </c>
      <c r="B14" s="4" t="s">
        <v>12</v>
      </c>
      <c r="C14" s="5">
        <v>20000</v>
      </c>
    </row>
    <row r="15" spans="1:3" ht="15.75" x14ac:dyDescent="0.25">
      <c r="A15" s="3">
        <v>43</v>
      </c>
      <c r="B15" s="4" t="s">
        <v>13</v>
      </c>
      <c r="C15" s="5">
        <v>20000</v>
      </c>
    </row>
    <row r="16" spans="1:3" ht="15.75" x14ac:dyDescent="0.25">
      <c r="A16" s="3">
        <v>45</v>
      </c>
      <c r="B16" s="4" t="s">
        <v>14</v>
      </c>
      <c r="C16" s="5">
        <v>20000</v>
      </c>
    </row>
    <row r="17" spans="1:3" ht="15.75" x14ac:dyDescent="0.25">
      <c r="A17" s="10">
        <v>48</v>
      </c>
      <c r="B17" s="4" t="s">
        <v>15</v>
      </c>
      <c r="C17" s="5">
        <v>25000</v>
      </c>
    </row>
    <row r="18" spans="1:3" ht="15.75" x14ac:dyDescent="0.25">
      <c r="A18" s="13"/>
      <c r="B18" s="14"/>
      <c r="C18" s="9"/>
    </row>
    <row r="19" spans="1:3" ht="15.75" x14ac:dyDescent="0.25">
      <c r="A19" s="3">
        <v>49</v>
      </c>
      <c r="B19" s="4" t="s">
        <v>16</v>
      </c>
      <c r="C19" s="12">
        <v>28000</v>
      </c>
    </row>
    <row r="20" spans="1:3" ht="15.75" x14ac:dyDescent="0.25">
      <c r="A20" s="3">
        <v>56</v>
      </c>
      <c r="B20" s="4" t="s">
        <v>17</v>
      </c>
      <c r="C20" s="5">
        <v>25000</v>
      </c>
    </row>
    <row r="21" spans="1:3" ht="15.75" x14ac:dyDescent="0.25">
      <c r="A21" s="3">
        <v>57</v>
      </c>
      <c r="B21" s="4" t="s">
        <v>18</v>
      </c>
      <c r="C21" s="12">
        <v>20000</v>
      </c>
    </row>
    <row r="22" spans="1:3" ht="15.75" x14ac:dyDescent="0.25">
      <c r="A22" s="8">
        <v>58</v>
      </c>
      <c r="B22" s="4" t="s">
        <v>19</v>
      </c>
      <c r="C22" s="5">
        <v>20000</v>
      </c>
    </row>
    <row r="23" spans="1:3" ht="15.75" x14ac:dyDescent="0.25">
      <c r="A23" s="9">
        <v>61</v>
      </c>
      <c r="B23" s="15" t="s">
        <v>20</v>
      </c>
      <c r="C23" s="5">
        <v>20000</v>
      </c>
    </row>
    <row r="24" spans="1:3" ht="15.75" x14ac:dyDescent="0.25">
      <c r="A24" s="16">
        <v>62</v>
      </c>
      <c r="B24" s="4" t="s">
        <v>21</v>
      </c>
      <c r="C24" s="5">
        <v>22000</v>
      </c>
    </row>
    <row r="25" spans="1:3" ht="15.75" x14ac:dyDescent="0.25">
      <c r="A25" s="16">
        <v>63</v>
      </c>
      <c r="B25" s="4" t="s">
        <v>22</v>
      </c>
      <c r="C25" s="5">
        <v>22000</v>
      </c>
    </row>
    <row r="26" spans="1:3" ht="18.75" x14ac:dyDescent="0.3">
      <c r="A26" s="17"/>
      <c r="B26" s="17" t="s">
        <v>25</v>
      </c>
      <c r="C26" s="18">
        <f>SUM(C4:C25)</f>
        <v>455870</v>
      </c>
    </row>
    <row r="27" spans="1:3" x14ac:dyDescent="0.25">
      <c r="C27" s="19"/>
    </row>
    <row r="28" spans="1:3" ht="15.75" x14ac:dyDescent="0.25">
      <c r="B28" t="s">
        <v>23</v>
      </c>
      <c r="C28" s="20">
        <v>550000</v>
      </c>
    </row>
    <row r="29" spans="1:3" ht="15.75" x14ac:dyDescent="0.25">
      <c r="B29" t="s">
        <v>24</v>
      </c>
      <c r="C29" s="20">
        <f>C28-C26</f>
        <v>94130</v>
      </c>
    </row>
  </sheetData>
  <mergeCells count="3">
    <mergeCell ref="A18:B18"/>
    <mergeCell ref="A2:C2"/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Kashif</dc:creator>
  <cp:lastModifiedBy>Kashif</cp:lastModifiedBy>
  <cp:lastPrinted>2022-09-08T07:28:55Z</cp:lastPrinted>
  <dcterms:created xsi:type="dcterms:W3CDTF">2022-09-08T04:38:06Z</dcterms:created>
  <dcterms:modified xsi:type="dcterms:W3CDTF">2022-09-08T07:29:18Z</dcterms:modified>
</cp:coreProperties>
</file>